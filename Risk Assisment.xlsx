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Sample Project\Project 1\"/>
    </mc:Choice>
  </mc:AlternateContent>
  <xr:revisionPtr revIDLastSave="0" documentId="13_ncr:1_{BCA2E6D4-76F5-43C0-90EF-2829472CFFEC}" xr6:coauthVersionLast="47" xr6:coauthVersionMax="47" xr10:uidLastSave="{00000000-0000-0000-0000-000000000000}"/>
  <bookViews>
    <workbookView xWindow="-120" yWindow="-120" windowWidth="20730" windowHeight="11160" xr2:uid="{D6C3B55D-9E61-48E8-BABB-D19E06041F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" i="1" l="1"/>
  <c r="AD20" i="1"/>
  <c r="AC20" i="1"/>
  <c r="AB20" i="1"/>
  <c r="AA20" i="1"/>
  <c r="Z20" i="1"/>
  <c r="AD19" i="1"/>
  <c r="AC19" i="1"/>
  <c r="AB19" i="1"/>
  <c r="AA19" i="1"/>
  <c r="Z19" i="1"/>
  <c r="AD18" i="1"/>
  <c r="AC18" i="1"/>
  <c r="AB18" i="1"/>
  <c r="AA18" i="1"/>
  <c r="Z18" i="1"/>
  <c r="AD17" i="1"/>
  <c r="AC17" i="1"/>
  <c r="AB17" i="1"/>
  <c r="AA17" i="1"/>
  <c r="AD16" i="1"/>
  <c r="AC16" i="1"/>
  <c r="AB16" i="1"/>
  <c r="AA16" i="1"/>
  <c r="Z16" i="1"/>
  <c r="P16" i="1"/>
  <c r="S19" i="1"/>
  <c r="R19" i="1"/>
  <c r="T20" i="1"/>
  <c r="S20" i="1"/>
  <c r="R20" i="1"/>
  <c r="Q20" i="1"/>
  <c r="P20" i="1"/>
  <c r="T19" i="1"/>
  <c r="Q19" i="1"/>
  <c r="P19" i="1"/>
  <c r="T18" i="1"/>
  <c r="S18" i="1"/>
  <c r="R18" i="1"/>
  <c r="Q18" i="1"/>
  <c r="P18" i="1"/>
  <c r="T17" i="1"/>
  <c r="S17" i="1"/>
  <c r="R17" i="1"/>
  <c r="Q17" i="1"/>
  <c r="P17" i="1"/>
  <c r="T16" i="1"/>
  <c r="S16" i="1"/>
  <c r="R16" i="1"/>
  <c r="Q16" i="1"/>
  <c r="Y17" i="1"/>
  <c r="Y18" i="1"/>
  <c r="Y19" i="1"/>
  <c r="Y20" i="1"/>
  <c r="Y16" i="1"/>
  <c r="AD15" i="1"/>
  <c r="AC15" i="1"/>
  <c r="AB15" i="1"/>
  <c r="AA15" i="1"/>
  <c r="Z15" i="1"/>
  <c r="O16" i="1"/>
  <c r="O20" i="1"/>
  <c r="O19" i="1"/>
  <c r="O18" i="1"/>
  <c r="O17" i="1"/>
  <c r="T15" i="1"/>
  <c r="S15" i="1"/>
  <c r="R15" i="1"/>
  <c r="Q15" i="1"/>
  <c r="P15" i="1"/>
  <c r="T7" i="1"/>
  <c r="S7" i="1"/>
  <c r="R7" i="1"/>
  <c r="Q7" i="1"/>
  <c r="P7" i="1"/>
  <c r="L7" i="1" s="1"/>
  <c r="L10" i="1"/>
  <c r="L14" i="1"/>
  <c r="L18" i="1"/>
  <c r="L22" i="1"/>
  <c r="O12" i="1"/>
  <c r="O11" i="1"/>
  <c r="O10" i="1"/>
  <c r="G10" i="1" s="1"/>
  <c r="O9" i="1"/>
  <c r="O8" i="1"/>
  <c r="G9" i="1" l="1"/>
  <c r="L21" i="1"/>
  <c r="L17" i="1"/>
  <c r="L13" i="1"/>
  <c r="L9" i="1"/>
  <c r="L20" i="1"/>
  <c r="L16" i="1"/>
  <c r="L12" i="1"/>
  <c r="L8" i="1"/>
  <c r="L6" i="1"/>
  <c r="L19" i="1"/>
  <c r="L15" i="1"/>
  <c r="L11" i="1"/>
  <c r="G14" i="1"/>
  <c r="G20" i="1"/>
  <c r="G6" i="1"/>
  <c r="G18" i="1"/>
  <c r="G13" i="1"/>
  <c r="G8" i="1"/>
  <c r="G22" i="1"/>
  <c r="G17" i="1"/>
  <c r="G12" i="1"/>
  <c r="G7" i="1"/>
  <c r="G21" i="1"/>
  <c r="G16" i="1"/>
  <c r="G19" i="1"/>
  <c r="G15" i="1"/>
  <c r="G11" i="1"/>
</calcChain>
</file>

<file path=xl/sharedStrings.xml><?xml version="1.0" encoding="utf-8"?>
<sst xmlns="http://schemas.openxmlformats.org/spreadsheetml/2006/main" count="147" uniqueCount="63">
  <si>
    <t>Date Last Updated:</t>
  </si>
  <si>
    <t>Unique ID</t>
  </si>
  <si>
    <t>Risk Description</t>
  </si>
  <si>
    <t>Caused by &amp; Consequences</t>
  </si>
  <si>
    <t>Risk Owner(s) Name and Role</t>
  </si>
  <si>
    <t>Probability</t>
  </si>
  <si>
    <t>Impact</t>
  </si>
  <si>
    <t>Risk rating</t>
  </si>
  <si>
    <t>Inherent Risk (Without controls)</t>
  </si>
  <si>
    <t>Control (s)</t>
  </si>
  <si>
    <t>Control Owner (s) Name and Role</t>
  </si>
  <si>
    <t>Residual Risk (With controls)</t>
  </si>
  <si>
    <t>Residual Probability</t>
  </si>
  <si>
    <t>Residual Impact</t>
  </si>
  <si>
    <t>Residual Risk rating</t>
  </si>
  <si>
    <t>Risk Assesment</t>
  </si>
  <si>
    <t>Very High</t>
  </si>
  <si>
    <t>High</t>
  </si>
  <si>
    <t>Medium</t>
  </si>
  <si>
    <t>Low</t>
  </si>
  <si>
    <t>Very Low</t>
  </si>
  <si>
    <t>Moderate</t>
  </si>
  <si>
    <t>Severe</t>
  </si>
  <si>
    <t>Critical</t>
  </si>
  <si>
    <t>Sustainable</t>
  </si>
  <si>
    <t>Risk Matrix</t>
  </si>
  <si>
    <t>Scope Creep</t>
  </si>
  <si>
    <t>Lack of clear requirements; Timeline Delays, Budget Overruns</t>
  </si>
  <si>
    <t>Delays in hiring CSM</t>
  </si>
  <si>
    <t>Recruitment challenges; Project Delays, Resource Constraints</t>
  </si>
  <si>
    <t>Integration Challenges</t>
  </si>
  <si>
    <t>Incompatible systems; System Downtime, Data Errors</t>
  </si>
  <si>
    <t>Data Migration Issues</t>
  </si>
  <si>
    <t>Manual transfer, technical errors; Data Loss, Corruption</t>
  </si>
  <si>
    <t>Security Vulnerabilities</t>
  </si>
  <si>
    <t>Coding flaws, outdated software; Data Breach, Reputational Damage</t>
  </si>
  <si>
    <t>Regulatory Non-Compliance</t>
  </si>
  <si>
    <t>Evolving laws, oversight; Legal Penalties, Fines</t>
  </si>
  <si>
    <t>User Adoption Issues</t>
  </si>
  <si>
    <t>Inadequate training, resistance; Low Engagement, Support Overload</t>
  </si>
  <si>
    <t>Owners</t>
  </si>
  <si>
    <t>Project Manager</t>
  </si>
  <si>
    <t>Business Analyst</t>
  </si>
  <si>
    <t>Developers</t>
  </si>
  <si>
    <t>Procurement Team</t>
  </si>
  <si>
    <t>Human Resource</t>
  </si>
  <si>
    <t>Quality Analyst</t>
  </si>
  <si>
    <t>Subject Matter Expert</t>
  </si>
  <si>
    <t>CSM</t>
  </si>
  <si>
    <t>Start recruitment 4 weeks early; use a specialized technical recruiter or external agency for backup.</t>
  </si>
  <si>
    <t>Conduct an API Compatibility Audit and run end-to-end testing in a "sandbox" environment before launch.</t>
  </si>
  <si>
    <t>Perform Automated Data Validation scripts and maintain a full backup of the legacy database.</t>
  </si>
  <si>
    <t>Schedule Penetration Testing and implement SSL encryption and multi-factor authentication (MFA).</t>
  </si>
  <si>
    <t>Regulatory Non-Compliance | Conduct a GDPR/Compliance Audit of the new site structure before moving to production.</t>
  </si>
  <si>
    <t>Develop a Change Management Plan including video tutorials and a 2-week "Beta" testing phase for users.</t>
  </si>
  <si>
    <t>Implement a strict Change Control Process; any new features must be approved by the steering committee.</t>
  </si>
  <si>
    <t>Software License Delays</t>
  </si>
  <si>
    <t>Submit Purchase Requisitions in Month 1; maintain a "Critical Path" tracker for all 3rd party vendor approvals.</t>
  </si>
  <si>
    <t>Slow procurement approval or budget disputes. Consequence: Dev team cannot use tools, leading to idle staff and missed milestones.</t>
  </si>
  <si>
    <r>
      <rPr>
        <sz val="14"/>
        <color theme="1"/>
        <rFont val="Abadi"/>
        <family val="2"/>
      </rPr>
      <t>Project Name</t>
    </r>
    <r>
      <rPr>
        <sz val="14"/>
        <color theme="1"/>
        <rFont val="Aptos Narrow"/>
        <family val="2"/>
        <scheme val="minor"/>
      </rPr>
      <t>:</t>
    </r>
  </si>
  <si>
    <t>Website Revamp</t>
  </si>
  <si>
    <t>Information Technology</t>
  </si>
  <si>
    <t>Department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</si>
</sst>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15141A"/>
      <name val="Arial"/>
      <family val="2"/>
    </font>
    <font>
      <sz val="11"/>
      <color rgb="FF15141A"/>
      <name val="Aptos"/>
      <family val="2"/>
    </font>
    <font>
      <sz val="24"/>
      <color theme="1"/>
      <name val="Constantia"/>
      <family val="1"/>
    </font>
    <font>
      <sz val="14"/>
      <color theme="1"/>
      <name val="Abadi"/>
      <family val="2"/>
    </font>
    <font>
      <sz val="11"/>
      <color theme="1"/>
      <name val="Abad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0" borderId="6" xfId="0" applyBorder="1"/>
    <xf numFmtId="0" fontId="0" fillId="4" borderId="7" xfId="0" applyFill="1" applyBorder="1"/>
    <xf numFmtId="0" fontId="0" fillId="4" borderId="10" xfId="0" applyFill="1" applyBorder="1"/>
    <xf numFmtId="0" fontId="0" fillId="4" borderId="8" xfId="0" applyFill="1" applyBorder="1"/>
    <xf numFmtId="0" fontId="3" fillId="4" borderId="10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2" fillId="0" borderId="6" xfId="0" applyFont="1" applyBorder="1" applyAlignment="1">
      <alignment wrapText="1"/>
    </xf>
    <xf numFmtId="0" fontId="0" fillId="7" borderId="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3" fillId="5" borderId="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wrapText="1"/>
    </xf>
    <xf numFmtId="0" fontId="8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wrapText="1"/>
    </xf>
    <xf numFmtId="0" fontId="0" fillId="10" borderId="9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11" fillId="3" borderId="0" xfId="0" applyFont="1" applyFill="1"/>
    <xf numFmtId="15" fontId="11" fillId="3" borderId="0" xfId="0" applyNumberFormat="1" applyFont="1" applyFill="1" applyAlignment="1">
      <alignment horizontal="center"/>
    </xf>
    <xf numFmtId="0" fontId="4" fillId="6" borderId="16" xfId="0" applyFont="1" applyFill="1" applyBorder="1" applyAlignment="1">
      <alignment horizontal="center" vertical="center" textRotation="90" wrapText="1"/>
    </xf>
    <xf numFmtId="0" fontId="4" fillId="6" borderId="17" xfId="0" applyFont="1" applyFill="1" applyBorder="1" applyAlignment="1">
      <alignment horizontal="center" vertical="center" textRotation="90" wrapText="1"/>
    </xf>
    <xf numFmtId="0" fontId="4" fillId="6" borderId="18" xfId="0" applyFont="1" applyFill="1" applyBorder="1" applyAlignment="1">
      <alignment horizontal="center" vertical="center" textRotation="90" wrapText="1"/>
    </xf>
    <xf numFmtId="0" fontId="4" fillId="6" borderId="4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B4CB-502B-45A3-A4B7-02D9E9EFE695}">
  <dimension ref="A1:AD22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9.140625" customWidth="1"/>
    <col min="2" max="2" width="27.140625" customWidth="1"/>
    <col min="3" max="3" width="21.7109375" customWidth="1"/>
    <col min="4" max="4" width="21.140625" customWidth="1"/>
    <col min="5" max="5" width="13.85546875" customWidth="1"/>
    <col min="6" max="6" width="17.85546875" customWidth="1"/>
    <col min="7" max="7" width="16.140625" customWidth="1"/>
    <col min="8" max="8" width="25" customWidth="1"/>
    <col min="9" max="9" width="20.85546875" customWidth="1"/>
    <col min="10" max="10" width="15.7109375" customWidth="1"/>
    <col min="11" max="11" width="12.7109375" customWidth="1"/>
    <col min="12" max="12" width="16.140625" customWidth="1"/>
    <col min="15" max="15" width="13" customWidth="1"/>
    <col min="16" max="16" width="13.5703125" customWidth="1"/>
    <col min="17" max="17" width="13.28515625" customWidth="1"/>
    <col min="18" max="18" width="11.7109375" customWidth="1"/>
    <col min="19" max="19" width="13.7109375" customWidth="1"/>
    <col min="20" max="20" width="11.28515625" customWidth="1"/>
    <col min="23" max="23" width="13.28515625" customWidth="1"/>
    <col min="24" max="24" width="12.7109375" customWidth="1"/>
    <col min="25" max="25" width="14" customWidth="1"/>
    <col min="26" max="26" width="21" customWidth="1"/>
    <col min="27" max="27" width="13.28515625" customWidth="1"/>
    <col min="28" max="28" width="13.42578125" customWidth="1"/>
    <col min="29" max="29" width="12.42578125" customWidth="1"/>
    <col min="30" max="30" width="11.5703125" customWidth="1"/>
  </cols>
  <sheetData>
    <row r="1" spans="1:30" ht="39.75" customHeight="1" thickBot="1" x14ac:dyDescent="0.55000000000000004">
      <c r="A1" s="1"/>
      <c r="B1" s="1"/>
      <c r="C1" s="1"/>
      <c r="D1" s="1"/>
      <c r="E1" s="54" t="s">
        <v>15</v>
      </c>
      <c r="F1" s="55"/>
      <c r="G1" s="55"/>
      <c r="H1" s="1"/>
      <c r="I1" s="1"/>
      <c r="J1" s="1"/>
      <c r="K1" s="1"/>
      <c r="L1" s="1"/>
      <c r="M1" s="10"/>
    </row>
    <row r="2" spans="1:30" ht="22.5" customHeight="1" thickBot="1" x14ac:dyDescent="0.4">
      <c r="A2" s="1"/>
      <c r="B2" s="39" t="s">
        <v>62</v>
      </c>
      <c r="C2" s="40" t="s">
        <v>61</v>
      </c>
      <c r="D2" s="2" t="s">
        <v>59</v>
      </c>
      <c r="E2" s="52" t="s">
        <v>60</v>
      </c>
      <c r="F2" s="53"/>
      <c r="G2" s="53"/>
      <c r="H2" s="3" t="s">
        <v>0</v>
      </c>
      <c r="I2" s="41">
        <v>46018</v>
      </c>
      <c r="J2" s="1"/>
      <c r="K2" s="1"/>
      <c r="L2" s="1"/>
      <c r="M2" s="10"/>
      <c r="W2" s="20" t="s">
        <v>5</v>
      </c>
      <c r="X2" s="21" t="s">
        <v>6</v>
      </c>
      <c r="Z2" s="37" t="s">
        <v>40</v>
      </c>
    </row>
    <row r="3" spans="1:30" ht="18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0"/>
      <c r="W3" s="22" t="s">
        <v>16</v>
      </c>
      <c r="X3" s="22" t="s">
        <v>16</v>
      </c>
      <c r="Z3" s="35" t="s">
        <v>41</v>
      </c>
    </row>
    <row r="4" spans="1:30" ht="24.75" customHeight="1" x14ac:dyDescent="0.3">
      <c r="A4" s="1"/>
      <c r="B4" s="1"/>
      <c r="C4" s="1"/>
      <c r="D4" s="1"/>
      <c r="E4" s="5"/>
      <c r="F4" s="8" t="s">
        <v>8</v>
      </c>
      <c r="G4" s="7"/>
      <c r="H4" s="1"/>
      <c r="I4" s="1"/>
      <c r="J4" s="5"/>
      <c r="K4" s="8" t="s">
        <v>11</v>
      </c>
      <c r="L4" s="6"/>
      <c r="M4" s="10"/>
      <c r="W4" s="23" t="s">
        <v>17</v>
      </c>
      <c r="X4" s="23" t="s">
        <v>17</v>
      </c>
      <c r="Z4" s="36" t="s">
        <v>42</v>
      </c>
    </row>
    <row r="5" spans="1:30" ht="35.25" customHeight="1" thickBot="1" x14ac:dyDescent="0.35">
      <c r="A5" s="9" t="s">
        <v>1</v>
      </c>
      <c r="B5" s="27" t="s">
        <v>2</v>
      </c>
      <c r="C5" s="27" t="s">
        <v>3</v>
      </c>
      <c r="D5" s="27" t="s">
        <v>4</v>
      </c>
      <c r="E5" s="28" t="s">
        <v>5</v>
      </c>
      <c r="F5" s="28" t="s">
        <v>6</v>
      </c>
      <c r="G5" s="28" t="s">
        <v>7</v>
      </c>
      <c r="H5" s="27" t="s">
        <v>9</v>
      </c>
      <c r="I5" s="27" t="s">
        <v>10</v>
      </c>
      <c r="J5" s="27" t="s">
        <v>12</v>
      </c>
      <c r="K5" s="27" t="s">
        <v>13</v>
      </c>
      <c r="L5" s="29" t="s">
        <v>14</v>
      </c>
      <c r="M5" s="4"/>
      <c r="W5" s="23" t="s">
        <v>18</v>
      </c>
      <c r="X5" s="23" t="s">
        <v>18</v>
      </c>
      <c r="Z5" s="36" t="s">
        <v>43</v>
      </c>
    </row>
    <row r="6" spans="1:30" ht="36" customHeight="1" thickBot="1" x14ac:dyDescent="0.35">
      <c r="A6" s="26">
        <v>1</v>
      </c>
      <c r="B6" s="32" t="s">
        <v>26</v>
      </c>
      <c r="C6" s="38" t="s">
        <v>27</v>
      </c>
      <c r="D6" s="33" t="s">
        <v>41</v>
      </c>
      <c r="E6" s="33" t="s">
        <v>18</v>
      </c>
      <c r="F6" s="33" t="s">
        <v>17</v>
      </c>
      <c r="G6" s="33" t="str">
        <f>IFERROR(INDEX(P$8:T$12,MATCH(E6,O$8:O$12,0),MATCH(F6,P$7:T$7,0)),"")</f>
        <v>Severe</v>
      </c>
      <c r="H6" s="33" t="s">
        <v>55</v>
      </c>
      <c r="I6" s="33" t="s">
        <v>41</v>
      </c>
      <c r="J6" s="33" t="s">
        <v>19</v>
      </c>
      <c r="K6" s="33" t="s">
        <v>19</v>
      </c>
      <c r="L6" s="34" t="str">
        <f>IFERROR(INDEX(P$8:T$12,MATCH(J6,O$8:O$12,0),MATCH(K6,P$7:T$7,0)),"")</f>
        <v>Sustainable</v>
      </c>
      <c r="N6" s="56" t="s">
        <v>25</v>
      </c>
      <c r="O6" s="57"/>
      <c r="W6" s="23" t="s">
        <v>19</v>
      </c>
      <c r="X6" s="23" t="s">
        <v>19</v>
      </c>
      <c r="Z6" s="36" t="s">
        <v>44</v>
      </c>
    </row>
    <row r="7" spans="1:30" ht="33.75" customHeight="1" thickBot="1" x14ac:dyDescent="0.35">
      <c r="A7" s="26">
        <v>2</v>
      </c>
      <c r="B7" s="32" t="s">
        <v>28</v>
      </c>
      <c r="C7" s="32" t="s">
        <v>29</v>
      </c>
      <c r="D7" s="33" t="s">
        <v>45</v>
      </c>
      <c r="E7" s="33" t="s">
        <v>20</v>
      </c>
      <c r="F7" s="33" t="s">
        <v>16</v>
      </c>
      <c r="G7" s="33" t="str">
        <f t="shared" ref="G7:G22" si="0">IFERROR(INDEX(P$8:T$12,MATCH(E7,O$8:O$12,0),MATCH(F7,P$7:T$7,0)),"")</f>
        <v>Severe</v>
      </c>
      <c r="H7" s="33" t="s">
        <v>49</v>
      </c>
      <c r="I7" s="33" t="s">
        <v>45</v>
      </c>
      <c r="J7" s="33" t="s">
        <v>20</v>
      </c>
      <c r="K7" s="33" t="s">
        <v>20</v>
      </c>
      <c r="L7" s="34" t="str">
        <f t="shared" ref="L7:L22" si="1">IFERROR(INDEX(P$8:T$12,MATCH(J7,O$8:O$12,0),MATCH(K7,P$7:T$7,0)),"")</f>
        <v>Sustainable</v>
      </c>
      <c r="N7" s="47" t="s">
        <v>6</v>
      </c>
      <c r="O7" s="48"/>
      <c r="P7" s="17" t="str">
        <f>X$7</f>
        <v>Very Low</v>
      </c>
      <c r="Q7" s="18" t="str">
        <f>X$6</f>
        <v>Low</v>
      </c>
      <c r="R7" s="18" t="str">
        <f>X$5</f>
        <v>Medium</v>
      </c>
      <c r="S7" s="18" t="str">
        <f>X$4</f>
        <v>High</v>
      </c>
      <c r="T7" s="19" t="str">
        <f>X$3</f>
        <v>Very High</v>
      </c>
      <c r="W7" s="23" t="s">
        <v>20</v>
      </c>
      <c r="X7" s="23" t="s">
        <v>20</v>
      </c>
      <c r="Z7" s="36" t="s">
        <v>45</v>
      </c>
    </row>
    <row r="8" spans="1:30" ht="46.5" customHeight="1" x14ac:dyDescent="0.25">
      <c r="A8" s="26">
        <v>3</v>
      </c>
      <c r="B8" s="32" t="s">
        <v>30</v>
      </c>
      <c r="C8" s="32" t="s">
        <v>31</v>
      </c>
      <c r="D8" s="33" t="s">
        <v>48</v>
      </c>
      <c r="E8" s="33" t="s">
        <v>19</v>
      </c>
      <c r="F8" s="33" t="s">
        <v>17</v>
      </c>
      <c r="G8" s="33" t="str">
        <f t="shared" si="0"/>
        <v>Severe</v>
      </c>
      <c r="H8" s="33" t="s">
        <v>50</v>
      </c>
      <c r="I8" s="33" t="s">
        <v>48</v>
      </c>
      <c r="J8" s="33" t="s">
        <v>18</v>
      </c>
      <c r="K8" s="33" t="s">
        <v>18</v>
      </c>
      <c r="L8" s="34" t="str">
        <f t="shared" si="1"/>
        <v>Moderate</v>
      </c>
      <c r="N8" s="42" t="s">
        <v>5</v>
      </c>
      <c r="O8" s="16" t="str">
        <f>W$3</f>
        <v>Very High</v>
      </c>
      <c r="P8" s="14" t="s">
        <v>21</v>
      </c>
      <c r="Q8" s="15" t="s">
        <v>22</v>
      </c>
      <c r="R8" s="15" t="s">
        <v>22</v>
      </c>
      <c r="S8" s="12" t="s">
        <v>23</v>
      </c>
      <c r="T8" s="13" t="s">
        <v>23</v>
      </c>
      <c r="Z8" s="36" t="s">
        <v>46</v>
      </c>
    </row>
    <row r="9" spans="1:30" ht="48.75" customHeight="1" x14ac:dyDescent="0.25">
      <c r="A9" s="26">
        <v>4</v>
      </c>
      <c r="B9" s="32" t="s">
        <v>32</v>
      </c>
      <c r="C9" s="32" t="s">
        <v>33</v>
      </c>
      <c r="D9" s="33" t="s">
        <v>48</v>
      </c>
      <c r="E9" s="33" t="s">
        <v>18</v>
      </c>
      <c r="F9" s="33" t="s">
        <v>17</v>
      </c>
      <c r="G9" s="33" t="str">
        <f t="shared" si="0"/>
        <v>Severe</v>
      </c>
      <c r="H9" s="33" t="s">
        <v>51</v>
      </c>
      <c r="I9" s="33" t="s">
        <v>48</v>
      </c>
      <c r="J9" s="33" t="s">
        <v>19</v>
      </c>
      <c r="K9" s="33" t="s">
        <v>18</v>
      </c>
      <c r="L9" s="34" t="str">
        <f t="shared" si="1"/>
        <v>Moderate</v>
      </c>
      <c r="N9" s="43"/>
      <c r="O9" s="16" t="str">
        <f>W$4</f>
        <v>High</v>
      </c>
      <c r="P9" s="25" t="s">
        <v>24</v>
      </c>
      <c r="Q9" s="14" t="s">
        <v>21</v>
      </c>
      <c r="R9" s="15" t="s">
        <v>22</v>
      </c>
      <c r="S9" s="12" t="s">
        <v>23</v>
      </c>
      <c r="T9" s="13" t="s">
        <v>23</v>
      </c>
      <c r="Z9" s="36" t="s">
        <v>47</v>
      </c>
    </row>
    <row r="10" spans="1:30" ht="41.25" customHeight="1" x14ac:dyDescent="0.25">
      <c r="A10" s="26">
        <v>5</v>
      </c>
      <c r="B10" s="32" t="s">
        <v>34</v>
      </c>
      <c r="C10" s="32" t="s">
        <v>35</v>
      </c>
      <c r="D10" s="33" t="s">
        <v>43</v>
      </c>
      <c r="E10" s="33" t="s">
        <v>19</v>
      </c>
      <c r="F10" s="33" t="s">
        <v>17</v>
      </c>
      <c r="G10" s="33" t="str">
        <f t="shared" si="0"/>
        <v>Severe</v>
      </c>
      <c r="H10" s="33" t="s">
        <v>52</v>
      </c>
      <c r="I10" s="33" t="s">
        <v>43</v>
      </c>
      <c r="J10" s="33" t="s">
        <v>19</v>
      </c>
      <c r="K10" s="33" t="s">
        <v>19</v>
      </c>
      <c r="L10" s="34" t="str">
        <f t="shared" si="1"/>
        <v>Sustainable</v>
      </c>
      <c r="N10" s="43"/>
      <c r="O10" s="16" t="str">
        <f>W$5</f>
        <v>Medium</v>
      </c>
      <c r="P10" s="25" t="s">
        <v>24</v>
      </c>
      <c r="Q10" s="14" t="s">
        <v>21</v>
      </c>
      <c r="R10" s="14" t="s">
        <v>21</v>
      </c>
      <c r="S10" s="15" t="s">
        <v>22</v>
      </c>
      <c r="T10" s="13" t="s">
        <v>23</v>
      </c>
      <c r="Z10" s="36" t="s">
        <v>48</v>
      </c>
    </row>
    <row r="11" spans="1:30" ht="42.75" customHeight="1" x14ac:dyDescent="0.25">
      <c r="A11" s="26">
        <v>6</v>
      </c>
      <c r="B11" s="32" t="s">
        <v>36</v>
      </c>
      <c r="C11" s="32" t="s">
        <v>37</v>
      </c>
      <c r="D11" s="33" t="s">
        <v>42</v>
      </c>
      <c r="E11" s="33" t="s">
        <v>20</v>
      </c>
      <c r="F11" s="33" t="s">
        <v>17</v>
      </c>
      <c r="G11" s="33" t="str">
        <f t="shared" si="0"/>
        <v>Moderate</v>
      </c>
      <c r="H11" s="33" t="s">
        <v>53</v>
      </c>
      <c r="I11" s="33" t="s">
        <v>42</v>
      </c>
      <c r="J11" s="33" t="s">
        <v>20</v>
      </c>
      <c r="K11" s="33" t="s">
        <v>19</v>
      </c>
      <c r="L11" s="34" t="str">
        <f t="shared" si="1"/>
        <v>Sustainable</v>
      </c>
      <c r="N11" s="43"/>
      <c r="O11" s="16" t="str">
        <f>W$6</f>
        <v>Low</v>
      </c>
      <c r="P11" s="25" t="s">
        <v>24</v>
      </c>
      <c r="Q11" s="25" t="s">
        <v>24</v>
      </c>
      <c r="R11" s="14" t="s">
        <v>21</v>
      </c>
      <c r="S11" s="15" t="s">
        <v>22</v>
      </c>
      <c r="T11" s="13" t="s">
        <v>23</v>
      </c>
    </row>
    <row r="12" spans="1:30" ht="33.75" customHeight="1" thickBot="1" x14ac:dyDescent="0.3">
      <c r="A12" s="26">
        <v>7</v>
      </c>
      <c r="B12" s="32" t="s">
        <v>38</v>
      </c>
      <c r="C12" s="32" t="s">
        <v>39</v>
      </c>
      <c r="D12" s="33" t="s">
        <v>47</v>
      </c>
      <c r="E12" s="33" t="s">
        <v>20</v>
      </c>
      <c r="F12" s="33" t="s">
        <v>17</v>
      </c>
      <c r="G12" s="33" t="str">
        <f t="shared" si="0"/>
        <v>Moderate</v>
      </c>
      <c r="H12" s="33" t="s">
        <v>54</v>
      </c>
      <c r="I12" s="33" t="s">
        <v>47</v>
      </c>
      <c r="J12" s="33" t="s">
        <v>20</v>
      </c>
      <c r="K12" s="33" t="s">
        <v>19</v>
      </c>
      <c r="L12" s="34" t="str">
        <f t="shared" si="1"/>
        <v>Sustainable</v>
      </c>
      <c r="N12" s="44"/>
      <c r="O12" s="16" t="str">
        <f>W$7</f>
        <v>Very Low</v>
      </c>
      <c r="P12" s="25" t="s">
        <v>24</v>
      </c>
      <c r="Q12" s="25" t="s">
        <v>24</v>
      </c>
      <c r="R12" s="25" t="s">
        <v>24</v>
      </c>
      <c r="S12" s="14" t="s">
        <v>21</v>
      </c>
      <c r="T12" s="15" t="s">
        <v>22</v>
      </c>
    </row>
    <row r="13" spans="1:30" ht="42" customHeight="1" thickBot="1" x14ac:dyDescent="0.3">
      <c r="A13" s="26">
        <v>8</v>
      </c>
      <c r="B13" s="32" t="s">
        <v>56</v>
      </c>
      <c r="C13" s="33" t="s">
        <v>58</v>
      </c>
      <c r="D13" s="33" t="s">
        <v>44</v>
      </c>
      <c r="E13" s="33" t="s">
        <v>17</v>
      </c>
      <c r="F13" s="33" t="s">
        <v>16</v>
      </c>
      <c r="G13" s="33" t="str">
        <f t="shared" si="0"/>
        <v>Critical</v>
      </c>
      <c r="H13" s="33" t="s">
        <v>57</v>
      </c>
      <c r="I13" s="33" t="s">
        <v>44</v>
      </c>
      <c r="J13" s="33" t="s">
        <v>18</v>
      </c>
      <c r="K13" s="33" t="s">
        <v>17</v>
      </c>
      <c r="L13" s="34" t="str">
        <f t="shared" si="1"/>
        <v>Severe</v>
      </c>
    </row>
    <row r="14" spans="1:30" ht="43.5" customHeight="1" thickBot="1" x14ac:dyDescent="0.3">
      <c r="A14" s="26"/>
      <c r="B14" s="33"/>
      <c r="C14" s="33"/>
      <c r="D14" s="33"/>
      <c r="E14" s="33"/>
      <c r="F14" s="33"/>
      <c r="G14" s="33" t="str">
        <f t="shared" si="0"/>
        <v/>
      </c>
      <c r="H14" s="33"/>
      <c r="I14" s="33"/>
      <c r="J14" s="33"/>
      <c r="K14" s="33"/>
      <c r="L14" s="34" t="str">
        <f t="shared" si="1"/>
        <v/>
      </c>
      <c r="N14" s="49" t="s">
        <v>8</v>
      </c>
      <c r="O14" s="58"/>
      <c r="P14" s="59"/>
      <c r="X14" s="49" t="s">
        <v>11</v>
      </c>
      <c r="Y14" s="50"/>
      <c r="Z14" s="51"/>
    </row>
    <row r="15" spans="1:30" ht="45" customHeight="1" thickBot="1" x14ac:dyDescent="0.3">
      <c r="A15" s="26"/>
      <c r="B15" s="33"/>
      <c r="C15" s="33"/>
      <c r="D15" s="33"/>
      <c r="E15" s="33"/>
      <c r="F15" s="33"/>
      <c r="G15" s="33" t="str">
        <f t="shared" si="0"/>
        <v/>
      </c>
      <c r="H15" s="34"/>
      <c r="I15" s="34"/>
      <c r="J15" s="34"/>
      <c r="K15" s="34"/>
      <c r="L15" s="34" t="str">
        <f t="shared" si="1"/>
        <v/>
      </c>
      <c r="N15" s="45" t="s">
        <v>6</v>
      </c>
      <c r="O15" s="46"/>
      <c r="P15" s="17" t="str">
        <f>X$7</f>
        <v>Very Low</v>
      </c>
      <c r="Q15" s="18" t="str">
        <f>X$6</f>
        <v>Low</v>
      </c>
      <c r="R15" s="18" t="str">
        <f>X$5</f>
        <v>Medium</v>
      </c>
      <c r="S15" s="18" t="str">
        <f>X$4</f>
        <v>High</v>
      </c>
      <c r="T15" s="19" t="str">
        <f>X$3</f>
        <v>Very High</v>
      </c>
      <c r="X15" s="45" t="s">
        <v>6</v>
      </c>
      <c r="Y15" s="46"/>
      <c r="Z15" s="17" t="str">
        <f>X7</f>
        <v>Very Low</v>
      </c>
      <c r="AA15" s="18" t="str">
        <f>X6</f>
        <v>Low</v>
      </c>
      <c r="AB15" s="18" t="str">
        <f>X5</f>
        <v>Medium</v>
      </c>
      <c r="AC15" s="18" t="str">
        <f>X4</f>
        <v>High</v>
      </c>
      <c r="AD15" s="19" t="str">
        <f>X3</f>
        <v>Very High</v>
      </c>
    </row>
    <row r="16" spans="1:30" ht="42.75" customHeight="1" x14ac:dyDescent="0.25">
      <c r="A16" s="26"/>
      <c r="B16" s="33"/>
      <c r="C16" s="33"/>
      <c r="D16" s="33"/>
      <c r="E16" s="33"/>
      <c r="F16" s="33"/>
      <c r="G16" s="33" t="str">
        <f t="shared" si="0"/>
        <v/>
      </c>
      <c r="H16" s="34"/>
      <c r="I16" s="34"/>
      <c r="J16" s="34"/>
      <c r="K16" s="34"/>
      <c r="L16" s="34" t="str">
        <f t="shared" si="1"/>
        <v/>
      </c>
      <c r="N16" s="42" t="s">
        <v>5</v>
      </c>
      <c r="O16" s="16" t="str">
        <f>W$3</f>
        <v>Very High</v>
      </c>
      <c r="P16" s="14" t="str">
        <f>IF(COUNTIFS($E$6:$E$30,$W3,$F$6:$F$30,$X$7)=0,"",COUNTIFS($E$6:$E$30,$W3,$F$6:$F$30,$X$7))</f>
        <v/>
      </c>
      <c r="Q16" s="15" t="str">
        <f>IF(COUNTIFS($E$6:$E$30,$W3,$F$6:$F$30,$X$6)=0,"",COUNTIFS($E$6:$E$30,$W3,$F$6:$F$30,$X$6))</f>
        <v/>
      </c>
      <c r="R16" s="15" t="str">
        <f>IF(COUNTIFS($E$6:$E$30,$W3,$F$6:$F$30,$X$5)=0,"",COUNTIFS($E$6:$E$30,$W3,$F$6:$F$30,$X$5))</f>
        <v/>
      </c>
      <c r="S16" s="12" t="str">
        <f>IF(COUNTIFS($E$6:$E$30,$W3,$F$6:$F$30,$X$4)=0,"",COUNTIFS($E$6:$E$30,$W3,$F$6:$F$30,$X$4))</f>
        <v/>
      </c>
      <c r="T16" s="13" t="str">
        <f>IF(COUNTIFS($E$6:$E$30,$W3,$F$6:$F$30,$X$3)=0,"",COUNTIFS($E$6:$E$30,$W3,$F$6:$F$30,$X$3))</f>
        <v/>
      </c>
      <c r="X16" s="42" t="s">
        <v>5</v>
      </c>
      <c r="Y16" s="16" t="str">
        <f>W3</f>
        <v>Very High</v>
      </c>
      <c r="Z16" s="14" t="str">
        <f>IF(COUNTIFS($J$6:$J$30,$W3,$K$6:$K$30,$X$7)=0,"",COUNTIFS($J$6:$J$30,$W3,$K$6:$K$30,$X$7))</f>
        <v/>
      </c>
      <c r="AA16" s="15" t="str">
        <f>IF(COUNTIFS($J$6:$J$30,$W3,$K$6:$K$30,$X$6)=0,"",COUNTIFS($J$6:$J$30,$W3,$K$6:$K$30,$X$6))</f>
        <v/>
      </c>
      <c r="AB16" s="15" t="str">
        <f>IF(COUNTIFS($J$6:$J$30,$W3,$K$6:$K$30,$X$5)=0,"",COUNTIFS($J$6:$J$30,$W3,$K$6:$K$30,$X$5))</f>
        <v/>
      </c>
      <c r="AC16" s="12" t="str">
        <f>IF(COUNTIFS($J$6:$J$30,$W3,$K$6:$K$30,$X$4)=0,"",COUNTIFS($J$6:$J$30,$W3,$K$6:$K$30,$X$4))</f>
        <v/>
      </c>
      <c r="AD16" s="13" t="str">
        <f>IF(COUNTIFS($J$6:$J$30,$W3,$K$6:$K$30,$X$3)=0,"",COUNTIFS($J$6:$J$30,$W3,$K$6:$K$30,$X$3))</f>
        <v/>
      </c>
    </row>
    <row r="17" spans="1:30" ht="48.75" customHeight="1" x14ac:dyDescent="0.25">
      <c r="A17" s="26"/>
      <c r="B17" s="33"/>
      <c r="C17" s="33"/>
      <c r="D17" s="33"/>
      <c r="E17" s="33"/>
      <c r="F17" s="33"/>
      <c r="G17" s="33" t="str">
        <f t="shared" si="0"/>
        <v/>
      </c>
      <c r="H17" s="34"/>
      <c r="I17" s="34"/>
      <c r="J17" s="34"/>
      <c r="K17" s="34"/>
      <c r="L17" s="34" t="str">
        <f t="shared" si="1"/>
        <v/>
      </c>
      <c r="N17" s="43"/>
      <c r="O17" s="16" t="str">
        <f>W$4</f>
        <v>High</v>
      </c>
      <c r="P17" s="25" t="str">
        <f t="shared" ref="P17:P20" si="2">IF(COUNTIFS($E$6:$E$30,$W4,$F$6:$F$30,$X$7)=0,"",COUNTIFS($E$6:$E$30,$W4,$F$6:$F$30,$X$7))</f>
        <v/>
      </c>
      <c r="Q17" s="14" t="str">
        <f t="shared" ref="Q17:Q20" si="3">IF(COUNTIFS($E$6:$E$30,$W4,$F$6:$F$30,$X$6)=0,"",COUNTIFS($E$6:$E$30,$W4,$F$6:$F$30,$X$6))</f>
        <v/>
      </c>
      <c r="R17" s="15" t="str">
        <f t="shared" ref="R17:R20" si="4">IF(COUNTIFS($E$6:$E$30,$W4,$F$6:$F$30,$X$5)=0,"",COUNTIFS($E$6:$E$30,$W4,$F$6:$F$30,$X$5))</f>
        <v/>
      </c>
      <c r="S17" s="12" t="str">
        <f t="shared" ref="S17:S20" si="5">IF(COUNTIFS($E$6:$E$30,$W4,$F$6:$F$30,$X$4)=0,"",COUNTIFS($E$6:$E$30,$W4,$F$6:$F$30,$X$4))</f>
        <v/>
      </c>
      <c r="T17" s="13">
        <f t="shared" ref="T17:T20" si="6">IF(COUNTIFS($E$6:$E$30,$W4,$F$6:$F$30,$X$3)=0,"",COUNTIFS($E$6:$E$30,$W4,$F$6:$F$30,$X$3))</f>
        <v>1</v>
      </c>
      <c r="X17" s="43"/>
      <c r="Y17" s="16" t="str">
        <f t="shared" ref="Y17:Y20" si="7">W4</f>
        <v>High</v>
      </c>
      <c r="Z17" s="25" t="str">
        <f>IF(COUNTIFS($J$6:$J$30,$W4,$K$6:$K$30,$X$7)=0,"",COUNTIFS($J$6:$J$30,$W4,$K$6:$K$30,$X$7))</f>
        <v/>
      </c>
      <c r="AA17" s="14" t="str">
        <f t="shared" ref="AA17:AA20" si="8">IF(COUNTIFS($J$6:$J$30,$W4,$K$6:$K$30,$X$6)=0,"",COUNTIFS($J$6:$J$30,$W4,$K$6:$K$30,$X$6))</f>
        <v/>
      </c>
      <c r="AB17" s="15" t="str">
        <f t="shared" ref="AB17:AB20" si="9">IF(COUNTIFS($J$6:$J$30,$W4,$K$6:$K$30,$X$5)=0,"",COUNTIFS($J$6:$J$30,$W4,$K$6:$K$30,$X$5))</f>
        <v/>
      </c>
      <c r="AC17" s="12" t="str">
        <f t="shared" ref="AC17:AC20" si="10">IF(COUNTIFS($J$6:$J$30,$W4,$K$6:$K$30,$X$4)=0,"",COUNTIFS($J$6:$J$30,$W4,$K$6:$K$30,$X$4))</f>
        <v/>
      </c>
      <c r="AD17" s="13" t="str">
        <f t="shared" ref="AD17:AD20" si="11">IF(COUNTIFS($J$6:$J$30,$W4,$K$6:$K$30,$X$3)=0,"",COUNTIFS($J$6:$J$30,$W4,$K$6:$K$30,$X$3))</f>
        <v/>
      </c>
    </row>
    <row r="18" spans="1:30" ht="36.75" customHeight="1" x14ac:dyDescent="0.25">
      <c r="A18" s="26"/>
      <c r="B18" s="33"/>
      <c r="C18" s="33"/>
      <c r="D18" s="33"/>
      <c r="E18" s="33"/>
      <c r="F18" s="33"/>
      <c r="G18" s="33" t="str">
        <f t="shared" si="0"/>
        <v/>
      </c>
      <c r="H18" s="34"/>
      <c r="I18" s="34"/>
      <c r="J18" s="34"/>
      <c r="K18" s="34"/>
      <c r="L18" s="34" t="str">
        <f t="shared" si="1"/>
        <v/>
      </c>
      <c r="N18" s="43"/>
      <c r="O18" s="16" t="str">
        <f>W$5</f>
        <v>Medium</v>
      </c>
      <c r="P18" s="25" t="str">
        <f t="shared" si="2"/>
        <v/>
      </c>
      <c r="Q18" s="14" t="str">
        <f t="shared" si="3"/>
        <v/>
      </c>
      <c r="R18" s="14" t="str">
        <f t="shared" si="4"/>
        <v/>
      </c>
      <c r="S18" s="15">
        <f t="shared" si="5"/>
        <v>2</v>
      </c>
      <c r="T18" s="13" t="str">
        <f t="shared" si="6"/>
        <v/>
      </c>
      <c r="X18" s="43"/>
      <c r="Y18" s="16" t="str">
        <f t="shared" si="7"/>
        <v>Medium</v>
      </c>
      <c r="Z18" s="25" t="str">
        <f t="shared" ref="Z18:Z20" si="12">IF(COUNTIFS($J$6:$J$30,$W5,$K$6:$K$30,$X$7)=0,"",COUNTIFS($J$6:$J$30,$W5,$K$6:$K$30,$X$7))</f>
        <v/>
      </c>
      <c r="AA18" s="14" t="str">
        <f t="shared" si="8"/>
        <v/>
      </c>
      <c r="AB18" s="14">
        <f t="shared" si="9"/>
        <v>1</v>
      </c>
      <c r="AC18" s="15">
        <f t="shared" si="10"/>
        <v>1</v>
      </c>
      <c r="AD18" s="13" t="str">
        <f t="shared" si="11"/>
        <v/>
      </c>
    </row>
    <row r="19" spans="1:30" ht="42" customHeight="1" x14ac:dyDescent="0.25">
      <c r="A19" s="26"/>
      <c r="B19" s="33"/>
      <c r="C19" s="33"/>
      <c r="D19" s="33"/>
      <c r="E19" s="33"/>
      <c r="F19" s="33"/>
      <c r="G19" s="33" t="str">
        <f t="shared" si="0"/>
        <v/>
      </c>
      <c r="H19" s="34"/>
      <c r="I19" s="34"/>
      <c r="J19" s="34"/>
      <c r="K19" s="34"/>
      <c r="L19" s="34" t="str">
        <f t="shared" si="1"/>
        <v/>
      </c>
      <c r="N19" s="43"/>
      <c r="O19" s="16" t="str">
        <f>W$6</f>
        <v>Low</v>
      </c>
      <c r="P19" s="25" t="str">
        <f t="shared" si="2"/>
        <v/>
      </c>
      <c r="Q19" s="25" t="str">
        <f t="shared" si="3"/>
        <v/>
      </c>
      <c r="R19" s="14" t="str">
        <f>IF(COUNTIFS($E$6:$E$30,$W6,$F$6:$F$30,$X$5)=0,"",COUNTIFS($E$6:$E$30,$W6,$F$6:$F$30,$X$5))</f>
        <v/>
      </c>
      <c r="S19" s="15">
        <f>IF(COUNTIFS($E$6:$E$30,$W6,$F$6:$F$30,$X$4)=0,"",COUNTIFS($E$6:$E$30,$W6,$F$6:$F$30,$X$4))</f>
        <v>2</v>
      </c>
      <c r="T19" s="13" t="str">
        <f t="shared" si="6"/>
        <v/>
      </c>
      <c r="X19" s="43"/>
      <c r="Y19" s="16" t="str">
        <f t="shared" si="7"/>
        <v>Low</v>
      </c>
      <c r="Z19" s="25" t="str">
        <f t="shared" si="12"/>
        <v/>
      </c>
      <c r="AA19" s="25">
        <f t="shared" si="8"/>
        <v>2</v>
      </c>
      <c r="AB19" s="14">
        <f t="shared" si="9"/>
        <v>1</v>
      </c>
      <c r="AC19" s="15" t="str">
        <f t="shared" si="10"/>
        <v/>
      </c>
      <c r="AD19" s="13" t="str">
        <f t="shared" si="11"/>
        <v/>
      </c>
    </row>
    <row r="20" spans="1:30" ht="40.5" customHeight="1" thickBot="1" x14ac:dyDescent="0.3">
      <c r="A20" s="26"/>
      <c r="B20" s="33"/>
      <c r="C20" s="33"/>
      <c r="D20" s="33"/>
      <c r="E20" s="33"/>
      <c r="F20" s="33"/>
      <c r="G20" s="33" t="str">
        <f t="shared" si="0"/>
        <v/>
      </c>
      <c r="H20" s="34"/>
      <c r="I20" s="34"/>
      <c r="J20" s="34"/>
      <c r="K20" s="34"/>
      <c r="L20" s="34" t="str">
        <f t="shared" si="1"/>
        <v/>
      </c>
      <c r="N20" s="44"/>
      <c r="O20" s="16" t="str">
        <f>W$7</f>
        <v>Very Low</v>
      </c>
      <c r="P20" s="25" t="str">
        <f t="shared" si="2"/>
        <v/>
      </c>
      <c r="Q20" s="25" t="str">
        <f t="shared" si="3"/>
        <v/>
      </c>
      <c r="R20" s="25" t="str">
        <f t="shared" si="4"/>
        <v/>
      </c>
      <c r="S20" s="14">
        <f t="shared" si="5"/>
        <v>2</v>
      </c>
      <c r="T20" s="15">
        <f t="shared" si="6"/>
        <v>1</v>
      </c>
      <c r="X20" s="44"/>
      <c r="Y20" s="16" t="str">
        <f t="shared" si="7"/>
        <v>Very Low</v>
      </c>
      <c r="Z20" s="25">
        <f t="shared" si="12"/>
        <v>1</v>
      </c>
      <c r="AA20" s="25">
        <f t="shared" si="8"/>
        <v>2</v>
      </c>
      <c r="AB20" s="25" t="str">
        <f t="shared" si="9"/>
        <v/>
      </c>
      <c r="AC20" s="14" t="str">
        <f t="shared" si="10"/>
        <v/>
      </c>
      <c r="AD20" s="15" t="str">
        <f t="shared" si="11"/>
        <v/>
      </c>
    </row>
    <row r="21" spans="1:30" ht="45.75" customHeight="1" x14ac:dyDescent="0.25">
      <c r="A21" s="24"/>
      <c r="B21" s="30"/>
      <c r="C21" s="30"/>
      <c r="D21" s="33"/>
      <c r="E21" s="30"/>
      <c r="F21" s="30"/>
      <c r="G21" s="30" t="str">
        <f t="shared" si="0"/>
        <v/>
      </c>
      <c r="H21" s="31"/>
      <c r="I21" s="31"/>
      <c r="J21" s="31"/>
      <c r="K21" s="31"/>
      <c r="L21" s="31" t="str">
        <f t="shared" si="1"/>
        <v/>
      </c>
    </row>
    <row r="22" spans="1:30" ht="49.5" customHeight="1" x14ac:dyDescent="0.25">
      <c r="A22" s="24"/>
      <c r="B22" s="24"/>
      <c r="C22" s="24"/>
      <c r="D22" s="33"/>
      <c r="E22" s="24"/>
      <c r="F22" s="24"/>
      <c r="G22" s="24" t="str">
        <f t="shared" si="0"/>
        <v/>
      </c>
      <c r="H22" s="11"/>
      <c r="I22" s="11"/>
      <c r="J22" s="11"/>
      <c r="K22" s="11"/>
      <c r="L22" s="11" t="str">
        <f t="shared" si="1"/>
        <v/>
      </c>
    </row>
  </sheetData>
  <mergeCells count="11">
    <mergeCell ref="E2:G2"/>
    <mergeCell ref="E1:G1"/>
    <mergeCell ref="N6:O6"/>
    <mergeCell ref="N15:O15"/>
    <mergeCell ref="N14:P14"/>
    <mergeCell ref="N16:N20"/>
    <mergeCell ref="X15:Y15"/>
    <mergeCell ref="X16:X20"/>
    <mergeCell ref="N7:O7"/>
    <mergeCell ref="N8:N12"/>
    <mergeCell ref="X14:Z14"/>
  </mergeCells>
  <conditionalFormatting sqref="G6:G30 L6:L30">
    <cfRule type="containsText" dxfId="3" priority="2" operator="containsText" text="Sustainable">
      <formula>NOT(ISERROR(SEARCH("Sustainable",G6)))</formula>
    </cfRule>
    <cfRule type="containsText" dxfId="2" priority="4" operator="containsText" text="Critical">
      <formula>NOT(ISERROR(SEARCH("Critical",G6)))</formula>
    </cfRule>
    <cfRule type="containsText" dxfId="1" priority="5" operator="containsText" text="Severe">
      <formula>NOT(ISERROR(SEARCH("Severe",G6)))</formula>
    </cfRule>
    <cfRule type="containsText" dxfId="0" priority="6" operator="containsText" text="Moderate">
      <formula>NOT(ISERROR(SEARCH("Moderate",G6)))</formula>
    </cfRule>
  </conditionalFormatting>
  <dataValidations count="3">
    <dataValidation type="list" allowBlank="1" showInputMessage="1" showErrorMessage="1" sqref="E6:E22 J6:J22" xr:uid="{500264ED-AD66-4993-B974-9F42744025D1}">
      <formula1>$W$3:$W$7</formula1>
    </dataValidation>
    <dataValidation type="list" allowBlank="1" showInputMessage="1" showErrorMessage="1" sqref="F6:F22 K6:K22" xr:uid="{BDFC444F-65A0-4409-95C5-36D2520796A0}">
      <formula1>$X$3:$X$7</formula1>
    </dataValidation>
    <dataValidation type="list" allowBlank="1" showInputMessage="1" showErrorMessage="1" sqref="I6:I22 D6:D22" xr:uid="{7CEE021A-36BC-456B-9C47-98519F44CE3B}">
      <formula1>$Z$3:$Z$10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Syed, Owais</dc:creator>
  <cp:lastModifiedBy>Syed, Owais</cp:lastModifiedBy>
  <dcterms:created xsi:type="dcterms:W3CDTF">2025-12-27T22:32:37Z</dcterms:created>
  <dcterms:modified xsi:type="dcterms:W3CDTF">2025-12-29T01:56:11Z</dcterms:modified>
</cp:coreProperties>
</file>